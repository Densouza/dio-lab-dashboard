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FD8C77D-BA90-4F46-AEE0-C513E6D52B2C}" xr6:coauthVersionLast="36" xr6:coauthVersionMax="36" xr10:uidLastSave="{00000000-0000-0000-0000-000000000000}"/>
  <bookViews>
    <workbookView xWindow="0" yWindow="0" windowWidth="28800" windowHeight="12105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79021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3" l="1"/>
  <c r="D25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<sst xmlns="http://schemas.openxmlformats.org/spreadsheetml/2006/main" count="2018" uniqueCount="320">
  <si>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</si>
  <si>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</si>
  <si>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</si>
  <si>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</si>
  <si>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</si>
  <si>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</si>
  <si>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</si>
  <si>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</si>
  <si>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</si>
  <si>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</si>
  <si>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</si>
  <si>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</si>
  <si>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</si>
  <si>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</si>
  <si>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</si>
  <si>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</si>
  <si>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</si>
  <si>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</si>
  <si>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</si>
  <si>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</si>
  <si>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</si>
  <si>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</si>
  <si>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</si>
  <si>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</si>
  <si>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</si>
  <si>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</si>
  <si>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</si>
  <si>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</si>
  <si>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</si>
  <si>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</si>
  <si>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</si>
  <si>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</si>
  <si>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</si>
  <si>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</si>
  <si>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</si>
  <si>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</si>
  <si>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</si>
  <si>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</si>
  <si>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</si>
  <si>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</si>
  <si>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</si>
  <si>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</si>
  <si>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</si>
  <si>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</si>
  <si>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</si>
  <si>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</si>
  <si>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</si>
  <si>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</si>
  <si>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</si>
  <si>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</si>
  <si>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</si>
  <si>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</si>
  <si>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</si>
  <si>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</si>
  <si>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</si>
  <si>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</si>
  <si>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</si>
  <si>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</si>
  <si>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</si>
  <si>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</si>
  <si>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</si>
  <si>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</si>
  <si>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</si>
  <si>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</si>
  <si>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</si>
  <si>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</si>
  <si>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</si>
  <si>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</si>
  <si>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</si>
  <si>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</si>
  <si>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</si>
  <si>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</si>
  <si>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</si>
  <si>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</si>
  <si>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</si>
  <si>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</si>
  <si>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</si>
  <si>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</si>
  <si>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</si>
  <si>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</si>
  <si>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</si>
  <si>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</si>
  <si>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</si>
  <si>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</si>
  <si>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</si>
  <si>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</si>
  <si>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</si>
  <si>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</si>
  <si>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</si>
  <si>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</si>
  <si>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</si>
  <si>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</si>
  <si>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</si>
  <si>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</si>
  <si>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</si>
  <si>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</si>
  <si>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</si>
  <si>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</si>
  <si>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</si>
  <si>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</si>
  <si>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</si>
  <si>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</si>
  <si>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</si>
  <si>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</si>
  <si>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</si>
  <si>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</si>
  <si>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</si>
  <si>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</si>
  <si>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</si>
  <si>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</si>
  <si>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</si>
  <si>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</si>
  <si>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</si>
  <si>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</si>
  <si>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</si>
  <si>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</si>
  <si>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</si>
  <si>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</si>
  <si>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</si>
  <si>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</si>
  <si>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</si>
  <si>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</si>
  <si>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</si>
  <si>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</si>
  <si>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</si>
  <si>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</si>
  <si>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</si>
  <si>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</si>
  <si>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</si>
  <si>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</si>
  <si>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</si>
  <si>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</si>
  <si>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</si>
  <si>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</si>
  <si>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</si>
  <si>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</si>
  <si>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</si>
  <si>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</si>
  <si>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</si>
  <si>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</si>
  <si>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</si>
  <si>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</si>
  <si>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</si>
  <si>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</si>
  <si>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</si>
  <si>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</si>
  <si>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</si>
  <si>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</si>
  <si>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</si>
  <si>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</si>
  <si>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</si>
  <si>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</si>
  <si>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</si>
  <si>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</si>
  <si>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</si>
  <si>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</si>
  <si>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</si>
  <si>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</si>
  <si>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</si>
  <si>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</si>
  <si>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</si>
  <si>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</si>
  <si>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</si>
  <si>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</si>
  <si>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</si>
  <si>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</si>
  <si>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</si>
  <si>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</si>
  <si>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</si>
  <si>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</si>
  <si>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</si>
  <si>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</si>
  <si>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</si>
  <si>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</si>
  <si>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</si>
  <si>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</si>
  <si>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</si>
  <si>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</si>
  <si>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</si>
  <si>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</si>
  <si>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</si>
  <si>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</si>
  <si>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</si>
  <si>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</si>
  <si>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</si>
  <si>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</si>
  <si>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</si>
  <si>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</si>
  <si>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</si>
  <si>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</si>
  <si>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</si>
  <si>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</si>
  <si>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</si>
  <si>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</si>
  <si>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</si>
  <si>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</si>
  <si>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</si>
  <si>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</si>
  <si>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</si>
  <si>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</si>
  <si>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</si>
  <si>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</si>
  <si>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</si>
  <si>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</si>
  <si>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</si>
  <si>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</si>
  <si>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</si>
  <si>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</si>
  <si>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</si>
  <si>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</si>
  <si>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</si>
  <si>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</si>
  <si>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</si>
  <si>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</si>
  <si>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</si>
  <si>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</si>
  <si>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</si>
  <si>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</si>
  <si>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</si>
  <si>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</si>
  <si>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</si>
  <si>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</si>
  <si>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</si>
  <si>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</si>
  <si>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</si>
  <si>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</si>
  <si>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</si>
  <si>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</si>
  <si>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</si>
  <si>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</si>
  <si>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</si>
  <si>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</si>
  <si>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</si>
  <si>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</si>
  <si>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</si>
  <si>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</si>
  <si>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</si>
  <si>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</si>
  <si>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</si>
  <si>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</si>
  <si>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</si>
  <si>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</si>
  <si>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</si>
  <si>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</si>
  <si>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</si>
  <si>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</si>
  <si>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</si>
  <si>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</si>
  <si>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</si>
  <si>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</si>
  <si>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</si>
  <si>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</si>
  <si>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</si>
  <si>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</si>
  <si>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</si>
  <si>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</si>
  <si>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</si>
  <si>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</si>
  <si>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</si>
  <si>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</si>
  <si>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</si>
  <si>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</si>
  <si>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</si>
  <si>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</si>
  <si>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</si>
  <si>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</si>
  <si>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</si>
  <si>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</si>
  <si>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</si>
  <si>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</si>
  <si>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</si>
  <si>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</si>
  <si>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</si>
  <si>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</si>
  <si>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</si>
  <si>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</si>
  <si>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</si>
  <si>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</si>
  <si>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</si>
  <si>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</si>
  <si>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</si>
  <si>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</si>
  <si>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</si>
  <si>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</si>
  <si>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</si>
  <si>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</si>
  <si>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</si>
  <si>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</si>
  <si>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</si>
  <si>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</si>
  <si>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</si>
  <si>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</si>
  <si>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</si>
  <si>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</si>
  <si>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</si>
  <si>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</si>
  <si>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</si>
  <si>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</si>
  <si>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</si>
  <si>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</si>
  <si>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</si>
  <si>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</si>
  <si>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</si>
  <si>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</si>
  <si>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</si>
  <si>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</si>
  <si>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</si>
  <si>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</si>
  <si>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</si>
  <si>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</si>
  <si>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</si>
  <si>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</si>
  <si>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</si>
  <si>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</si>
  <si>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</si>
  <si>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</si>
  <si>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</si>
  <si>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</si>
  <si>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</si>
  <si>
    <t>Bem Vinda, Denise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</si>
</sst>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9"/>
      <name val="Segoe UI"/>
      <family val="2"/>
    </font>
    <font>
      <b/>
      <sz val="15"/>
      <color theme="9"/>
      <name val="Aptos Narrow"/>
      <family val="2"/>
      <scheme val="minor"/>
    </font>
    <font>
      <b/>
      <sz val="11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8" borderId="0" xfId="0" applyFill="1"/>
    <xf numFmtId="0" fontId="5" fillId="0" borderId="2" xfId="1" applyFont="1" applyBorder="1"/>
    <xf numFmtId="0" fontId="1" fillId="0" borderId="2" xfId="1" applyBorder="1"/>
    <xf numFmtId="44" fontId="0" fillId="0" borderId="0" xfId="2" applyFont="1"/>
    <xf numFmtId="0" fontId="0" fillId="0" borderId="0" xfId="0" applyBorder="1"/>
    <xf numFmtId="0" fontId="1" fillId="0" borderId="0" xfId="1" applyBorder="1"/>
    <xf numFmtId="0" fontId="6" fillId="8" borderId="0" xfId="0" applyFont="1" applyFill="1"/>
    <xf numFmtId="0" fontId="4" fillId="0" borderId="2" xfId="1" applyFont="1" applyBorder="1" applyAlignment="1">
      <alignment horizontal="left" indent="6"/>
    </xf>
  </cellXfs>
  <cellStyles count="3">
    <cellStyle name="Moeda" xfId="2" builtinId="4"/>
    <cellStyle name="Normal" xfId="0" builtinId="0"/>
    <cellStyle name="Título 1" xfId="1" builtinId="16"/>
  </cellStyles>
  <dxfs count="26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1" xr9:uid="{E6E6BD61-0053-4C3A-B56E-5AC086E1DC68}">
      <tableStyleElement type="wholeTable" dxfId="8"/>
    </tableStyle>
    <tableStyle name="SlicerStyleLight3 2" pivot="0" table="0" count="10" xr9:uid="{D3EA92A3-8835-4D4C-B563-E72D2F2D88DF}">
      <tableStyleElement type="wholeTable" dxfId="7"/>
      <tableStyleElement type="headerRow" dxfId="6"/>
    </tableStyle>
  </tableStyles>
  <colors>
    <mruColors>
      <color rgb="FF2AE6B1"/>
      <color rgb="FF22C55E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[Dashboard_Assinaturas_Pronto.xlsx]C̳álculos!tbl_annual_total</c:name>
    <c:fmtId val="2"/>
  </c:pivotSource>
  <c:chart>
    <c:autoTitleDeleted val="1"/>
    <c:pivotFmts>
      <c:pivotFmt>
        <c:idx val="0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BE-4929-87D6-C6245D7D312B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BE-4929-87D6-C6245D7D31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BE-4929-87D6-C6245D7D3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9282984"/>
        <c:axId val="469280032"/>
      </c:barChart>
      <c:catAx>
        <c:axId val="469282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280032"/>
        <c:crosses val="autoZero"/>
        <c:auto val="1"/>
        <c:lblAlgn val="ctr"/>
        <c:lblOffset val="100"/>
        <c:noMultiLvlLbl val="0"/>
      </c:catAx>
      <c:valAx>
        <c:axId val="46928003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4692829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126999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126999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1833562</xdr:colOff>
      <xdr:row>0</xdr:row>
      <xdr:rowOff>0</xdr:rowOff>
    </xdr:from>
    <xdr:to>
      <xdr:col>1</xdr:col>
      <xdr:colOff>690563</xdr:colOff>
      <xdr:row>3</xdr:row>
      <xdr:rowOff>23812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557A20-6D45-4273-800A-07EB78A45E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89" r="71210" b="7153"/>
        <a:stretch/>
      </xdr:blipFill>
      <xdr:spPr>
        <a:xfrm>
          <a:off x="1833562" y="0"/>
          <a:ext cx="702470" cy="9048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</xdr:row>
      <xdr:rowOff>130970</xdr:rowOff>
    </xdr:from>
    <xdr:to>
      <xdr:col>0</xdr:col>
      <xdr:colOff>1809751</xdr:colOff>
      <xdr:row>20</xdr:row>
      <xdr:rowOff>166688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B0F5720-D292-4F9E-9188-37F57B1B75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1583533"/>
              <a:ext cx="1809750" cy="2536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178593</xdr:colOff>
      <xdr:row>14</xdr:row>
      <xdr:rowOff>95248</xdr:rowOff>
    </xdr:from>
    <xdr:to>
      <xdr:col>13</xdr:col>
      <xdr:colOff>547687</xdr:colOff>
      <xdr:row>38</xdr:row>
      <xdr:rowOff>23812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6264C19D-9C26-42BA-931E-CCF4A21056A2}"/>
            </a:ext>
          </a:extLst>
        </xdr:cNvPr>
        <xdr:cNvGrpSpPr/>
      </xdr:nvGrpSpPr>
      <xdr:grpSpPr>
        <a:xfrm>
          <a:off x="2024062" y="2976561"/>
          <a:ext cx="9620250" cy="4214814"/>
          <a:chOff x="1976437" y="881061"/>
          <a:chExt cx="4810125" cy="296942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031B96FA-2B00-4799-9E7B-E90CBE51DD38}"/>
              </a:ext>
            </a:extLst>
          </xdr:cNvPr>
          <xdr:cNvSpPr/>
        </xdr:nvSpPr>
        <xdr:spPr>
          <a:xfrm>
            <a:off x="1976437" y="881061"/>
            <a:ext cx="4810125" cy="2869407"/>
          </a:xfrm>
          <a:prstGeom prst="roundRect">
            <a:avLst>
              <a:gd name="adj" fmla="val 504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2ABB6140-D961-4BFA-A088-98A9681EFD98}"/>
              </a:ext>
            </a:extLst>
          </xdr:cNvPr>
          <xdr:cNvGraphicFramePr>
            <a:graphicFrameLocks/>
          </xdr:cNvGraphicFramePr>
        </xdr:nvGraphicFramePr>
        <xdr:xfrm>
          <a:off x="2143126" y="1107281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202405</xdr:colOff>
      <xdr:row>2</xdr:row>
      <xdr:rowOff>177403</xdr:rowOff>
    </xdr:from>
    <xdr:to>
      <xdr:col>6</xdr:col>
      <xdr:colOff>297656</xdr:colOff>
      <xdr:row>11</xdr:row>
      <xdr:rowOff>14543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EF95A5A5-1D3E-46F9-81AC-DE028FFF1CB9}"/>
            </a:ext>
          </a:extLst>
        </xdr:cNvPr>
        <xdr:cNvGrpSpPr/>
      </xdr:nvGrpSpPr>
      <xdr:grpSpPr>
        <a:xfrm>
          <a:off x="2047874" y="760809"/>
          <a:ext cx="4702970" cy="1599265"/>
          <a:chOff x="2047874" y="773906"/>
          <a:chExt cx="4702970" cy="1563547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51A608A9-D7C9-47C6-98F5-269D34BB959C}"/>
              </a:ext>
            </a:extLst>
          </xdr:cNvPr>
          <xdr:cNvSpPr/>
        </xdr:nvSpPr>
        <xdr:spPr>
          <a:xfrm>
            <a:off x="2047874" y="785812"/>
            <a:ext cx="4702969" cy="1512094"/>
          </a:xfrm>
          <a:prstGeom prst="roundRect">
            <a:avLst>
              <a:gd name="adj" fmla="val 551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5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F7118D9B-B266-40F1-8B23-A9A35B4FD20E}"/>
              </a:ext>
            </a:extLst>
          </xdr:cNvPr>
          <xdr:cNvSpPr/>
        </xdr:nvSpPr>
        <xdr:spPr>
          <a:xfrm>
            <a:off x="3867150" y="1128704"/>
            <a:ext cx="2883694" cy="1073944"/>
          </a:xfrm>
          <a:prstGeom prst="roundRect">
            <a:avLst>
              <a:gd name="adj" fmla="val 5512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FA14411-91CC-4E58-B4E9-D4EA0C2F7EAE}" type="TxLink">
              <a:rPr lang="en-US" sz="3600" b="0" i="0" u="none" strike="noStrike">
                <a:solidFill>
                  <a:schemeClr val="accent6"/>
                </a:solidFill>
                <a:latin typeface="Aptos Narrow"/>
              </a:rPr>
              <a:pPr algn="ctr"/>
              <a:t> R$ 600,00 </a:t>
            </a:fld>
            <a:endParaRPr lang="pt-BR" sz="3600">
              <a:solidFill>
                <a:schemeClr val="accent6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A0B9647D-CA3D-44EE-9DEC-007B6CC300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88368" y="1104892"/>
            <a:ext cx="1466849" cy="1232561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81054E93-EE19-46BA-B3B1-EEB22EF9791D}"/>
              </a:ext>
            </a:extLst>
          </xdr:cNvPr>
          <xdr:cNvSpPr/>
        </xdr:nvSpPr>
        <xdr:spPr>
          <a:xfrm>
            <a:off x="2047875" y="773906"/>
            <a:ext cx="4691062" cy="404813"/>
          </a:xfrm>
          <a:prstGeom prst="round2Same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SEASON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438148</xdr:colOff>
      <xdr:row>2</xdr:row>
      <xdr:rowOff>173364</xdr:rowOff>
    </xdr:from>
    <xdr:to>
      <xdr:col>13</xdr:col>
      <xdr:colOff>497681</xdr:colOff>
      <xdr:row>10</xdr:row>
      <xdr:rowOff>149551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DF4437EF-4B8B-4AA4-81AB-C353E939455D}"/>
            </a:ext>
          </a:extLst>
        </xdr:cNvPr>
        <xdr:cNvGrpSpPr/>
      </xdr:nvGrpSpPr>
      <xdr:grpSpPr>
        <a:xfrm>
          <a:off x="6891336" y="756770"/>
          <a:ext cx="4702970" cy="1559719"/>
          <a:chOff x="6891336" y="747712"/>
          <a:chExt cx="4702970" cy="1524000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451C5578-8F46-4A2B-BD2C-9DA11E5B5007}"/>
              </a:ext>
            </a:extLst>
          </xdr:cNvPr>
          <xdr:cNvSpPr/>
        </xdr:nvSpPr>
        <xdr:spPr>
          <a:xfrm>
            <a:off x="6891336" y="759618"/>
            <a:ext cx="4702969" cy="1512094"/>
          </a:xfrm>
          <a:prstGeom prst="roundRect">
            <a:avLst>
              <a:gd name="adj" fmla="val 551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390B1224-F465-4FCF-A9A6-E2A0B1407B5D}"/>
              </a:ext>
            </a:extLst>
          </xdr:cNvPr>
          <xdr:cNvSpPr/>
        </xdr:nvSpPr>
        <xdr:spPr>
          <a:xfrm>
            <a:off x="8710612" y="1102510"/>
            <a:ext cx="2883694" cy="1073944"/>
          </a:xfrm>
          <a:prstGeom prst="roundRect">
            <a:avLst>
              <a:gd name="adj" fmla="val 5512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DE218CDC-5A13-4FBC-B329-B16E106BD113}" type="TxLink">
              <a:rPr lang="en-US" sz="3600" b="0" i="0" u="none" strike="noStrike">
                <a:solidFill>
                  <a:schemeClr val="accent6"/>
                </a:solidFill>
                <a:latin typeface="Aptos Narrow"/>
                <a:ea typeface="+mn-ea"/>
                <a:cs typeface="+mn-cs"/>
              </a:rPr>
              <a:pPr marL="0" indent="0" algn="ctr"/>
              <a:t> R$ 940,00 </a:t>
            </a:fld>
            <a:endParaRPr lang="pt-BR" sz="3600" b="0" i="0" u="none" strike="noStrike">
              <a:solidFill>
                <a:schemeClr val="accent6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0CC2A47C-D379-41FC-987C-54F93CB1E231}"/>
              </a:ext>
            </a:extLst>
          </xdr:cNvPr>
          <xdr:cNvSpPr/>
        </xdr:nvSpPr>
        <xdr:spPr>
          <a:xfrm>
            <a:off x="6891337" y="747712"/>
            <a:ext cx="4691062" cy="404813"/>
          </a:xfrm>
          <a:prstGeom prst="round2Same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</a:t>
            </a:r>
          </a:p>
          <a:p>
            <a:pPr algn="ctr"/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DB3662FA-FF12-49CD-91D5-EFACFCE3768F}"/>
              </a:ext>
            </a:extLst>
          </xdr:cNvPr>
          <xdr:cNvGrpSpPr/>
        </xdr:nvGrpSpPr>
        <xdr:grpSpPr>
          <a:xfrm>
            <a:off x="7115175" y="1304916"/>
            <a:ext cx="1338263" cy="635803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96D2BDA7-59A0-482A-88FE-3D5FEE745A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5FC99758-0D6D-478A-A8FD-7B0E32123C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166685</xdr:colOff>
      <xdr:row>14</xdr:row>
      <xdr:rowOff>94059</xdr:rowOff>
    </xdr:from>
    <xdr:to>
      <xdr:col>13</xdr:col>
      <xdr:colOff>547686</xdr:colOff>
      <xdr:row>16</xdr:row>
      <xdr:rowOff>141685</xdr:rowOff>
    </xdr:to>
    <xdr:sp macro="" textlink="">
      <xdr:nvSpPr>
        <xdr:cNvPr id="24" name="Retângulo: Cantos Superiores Arredondados 23">
          <a:extLst>
            <a:ext uri="{FF2B5EF4-FFF2-40B4-BE49-F238E27FC236}">
              <a16:creationId xmlns:a16="http://schemas.microsoft.com/office/drawing/2014/main" id="{A4D36044-A089-4BFA-9F53-1458D06DC424}"/>
            </a:ext>
          </a:extLst>
        </xdr:cNvPr>
        <xdr:cNvSpPr/>
      </xdr:nvSpPr>
      <xdr:spPr>
        <a:xfrm>
          <a:off x="2012154" y="2939653"/>
          <a:ext cx="9632157" cy="404813"/>
        </a:xfrm>
        <a:prstGeom prst="round2Same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 SUBSCRIPTIONS XBOX GAME PASS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178594</xdr:colOff>
      <xdr:row>1</xdr:row>
      <xdr:rowOff>11905</xdr:rowOff>
    </xdr:from>
    <xdr:to>
      <xdr:col>0</xdr:col>
      <xdr:colOff>950119</xdr:colOff>
      <xdr:row>2</xdr:row>
      <xdr:rowOff>264318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FE5EFB9E-2AE4-4F50-9A7A-1F087573F777}"/>
            </a:ext>
          </a:extLst>
        </xdr:cNvPr>
        <xdr:cNvSpPr/>
      </xdr:nvSpPr>
      <xdr:spPr>
        <a:xfrm>
          <a:off x="178594" y="190499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72.514879629627" createdVersion="6" refreshedVersion="6" minRefreshableVersion="3" recordCount="295" xr:uid="{7FADD782-535A-4971-846F-F5566FFE7B1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214063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210C7-FF6E-4DE5-93F4-30D87284DEFD}" name="Tabela dinâmica5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3">
    <format dxfId="0">
      <pivotArea outline="0" collapsedLevelsAreSubtotals="1" fieldPosition="0"/>
    </format>
    <format dxfId="1">
      <pivotArea dataOnly="0" labelOnly="1" outline="0" fieldPosition="0">
        <references count="1">
          <reference field="6" count="1">
            <x v="0"/>
          </reference>
        </references>
      </pivotArea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1B171-6991-4E67-8FF0-A41C63368ADB}" name="ea_seasonpass_total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3">
    <format dxfId="3">
      <pivotArea outline="0" collapsedLevelsAreSubtotals="1" fieldPosition="0"/>
    </format>
    <format dxfId="4">
      <pivotArea dataOnly="0" labelOnly="1" outline="0" fieldPosition="0">
        <references count="1">
          <reference field="6" count="1">
            <x v="0"/>
          </reference>
        </references>
      </pivotArea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53F46-66E2-47B9-BD8C-57BA917CAF07}" name="tbl_annual_total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3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6" count="1">
            <x v="0"/>
          </reference>
        </references>
      </pivotArea>
    </format>
    <format dxfId="9">
      <pivotArea dataOnly="0" labelOnly="1" outline="0" axis="axisValues" fieldPosition="0"/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AC4AFF0-5887-4133-B4EC-96C2BFBF2D20}" sourceName="Subscription Type">
  <pivotTables>
    <pivotTable tabId="3" name="tbl_annual_total"/>
    <pivotTable tabId="3" name="ea_seasonpass_total"/>
    <pivotTable tabId="3" name="Tabela dinâmica5"/>
  </pivotTables>
  <data>
    <tabular pivotCacheId="62140635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357DE96-6288-4EF3-8D97-9A1550E3EAE0}" cache="SegmentaçãodeDados_Subscription_Type" caption="Subscription Type" style="SlicerStyleLight3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5">
  <autoFilter ref="A1:M296" xr:uid="{34E0E886-4200-4B36-97B3-63DB74FF40A0}">
    <filterColumn colId="4">
      <filters>
        <filter val="Yes"/>
      </filters>
    </filterColumn>
    <filterColumn colId="6">
      <filters>
        <filter val="Annual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24"/>
    <tableColumn id="2" xr3:uid="{53DD39D0-2220-4121-9E9D-4EAA7E151C0F}" name="Name" dataDxfId="23"/>
    <tableColumn id="3" xr3:uid="{4F5FF271-4C57-4BE0-8F2C-F82C8551625C}" name="Plan" dataDxfId="22"/>
    <tableColumn id="4" xr3:uid="{8C17EB93-79B9-4E55-B8F7-BEB82F8253E9}" name="Start Date" dataDxfId="21"/>
    <tableColumn id="5" xr3:uid="{48CEDF9B-1689-482A-A828-5CCE7713264A}" name="Auto Renewal" dataDxfId="20"/>
    <tableColumn id="6" xr3:uid="{78B82374-9AA7-4E38-AE4F-78CDE6C83720}" name="Subscription Price" dataDxfId="19" dataCellStyle="Moeda"/>
    <tableColumn id="7" xr3:uid="{F2433F68-AF33-49D0-B1FB-19A396074EDE}" name="Subscription Type" dataDxfId="18"/>
    <tableColumn id="8" xr3:uid="{FD4D9C95-F6E5-4933-9068-A71FF7DF9343}" name="EA Play Season Pass" dataDxfId="17"/>
    <tableColumn id="13" xr3:uid="{978DD0D2-834E-4CE4-A39B-30976086932F}" name="EA Play Season Pass_x000a_Price" dataDxfId="16" dataCellStyle="Moeda"/>
    <tableColumn id="9" xr3:uid="{6E29F111-C395-4580-9DAD-3407D9E8B1A4}" name="Minecraft Season Pass" dataDxfId="15"/>
    <tableColumn id="10" xr3:uid="{EF544EAA-7F25-4FD5-A10E-8E62804DB9E3}" name="Minecraft Season Pass Price" dataDxfId="14" dataCellStyle="Moeda"/>
    <tableColumn id="11" xr3:uid="{7F6EB64A-1F07-4E48-9F0F-AC7D9DCD26F8}" name="Coupon Value" dataDxfId="13" dataCellStyle="Moeda"/>
    <tableColumn id="12" xr3:uid="{2B04ABC8-DE6F-426E-ADC0-D8AFC68CA58E}" name="Total Value" dataDxfId="1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I17" zoomScale="90" zoomScaleNormal="90" workbookViewId="0">
      <selection activeCell="M9" sqref="M9:M295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idden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idden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idden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idden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idden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idden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idden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idden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idden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idden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idden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idden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idden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idden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idden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idden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idden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idden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idden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idden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idden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idden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idden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idden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idden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idden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idden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idden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idden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idden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idden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idden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idden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idden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idden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idden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idden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idden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idden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idden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idden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idden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idden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idden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idden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idden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idden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idden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idden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idden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idden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idden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idden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idden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idden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idden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idden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idden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idden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idden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idden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idden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idden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idden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idden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idden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idden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idden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idden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idden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idden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idden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idden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idden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idden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idden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idden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idden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idden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idden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idden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idden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idden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idden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idden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idden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idden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idden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idden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idden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idden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idden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idden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idden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idden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idden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idden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idden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idden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idden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idden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idden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idden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idden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idden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idden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idden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idden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idden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idden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idden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idden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idden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idden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idden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idden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idden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idden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idden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idden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idden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idden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idden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idden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idden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idden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idden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idden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idden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idden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idden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idden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idden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idden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idden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idden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idden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idden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idden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idden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idden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idden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idden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idden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idden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idden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idden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idden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idden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idden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idden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idden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idden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idden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idden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idden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idden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idden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idden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idden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idden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idden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idden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idden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idden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idden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idden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idden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idden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idden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idden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idden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idden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idden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idden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idden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idden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idden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idden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idden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idden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idden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idden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idden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idden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idden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idden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idden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idden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idden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idden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idden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idden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idden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idden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idden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idden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idden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idden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idden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idden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idden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idden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idden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idden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idden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idden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idden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idden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idden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idden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idden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idden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idden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idden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idden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idden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idden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idden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idden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idden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idden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idden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idden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idden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idden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idden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idden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idden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idden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idden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idden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idden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idden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idden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9:F583"/>
  <sheetViews>
    <sheetView showGridLines="0" workbookViewId="0">
      <selection activeCell="D35" sqref="D35"/>
    </sheetView>
  </sheetViews>
  <sheetFormatPr defaultRowHeight="14.25"/>
  <cols>
    <col min="2" max="2" width="18" bestFit="1" customWidth="1"/>
    <col min="3" max="3" width="35.125" style="14" bestFit="1" customWidth="1"/>
    <col min="4" max="4" width="12" bestFit="1" customWidth="1"/>
    <col min="5" max="5" width="8.25" bestFit="1" customWidth="1"/>
    <col min="6" max="6" width="10.7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9" spans="2:3">
      <c r="B9" s="12" t="s">
        <v>16</v>
      </c>
      <c r="C9" s="14" t="s">
        <v>24</v>
      </c>
    </row>
    <row r="11" spans="2:3">
      <c r="B11" s="12" t="s">
        <v>313</v>
      </c>
      <c r="C11" s="14" t="s">
        <v>315</v>
      </c>
    </row>
    <row r="12" spans="2:3">
      <c r="B12" s="13" t="s">
        <v>23</v>
      </c>
      <c r="C12" s="14">
        <v>217</v>
      </c>
    </row>
    <row r="13" spans="2:3">
      <c r="B13" s="13" t="s">
        <v>19</v>
      </c>
      <c r="C13" s="14">
        <v>1537</v>
      </c>
    </row>
    <row r="14" spans="2:3">
      <c r="B14" s="13" t="s">
        <v>314</v>
      </c>
      <c r="C14" s="14">
        <v>1754</v>
      </c>
    </row>
    <row r="15" spans="2:3">
      <c r="C15"/>
    </row>
    <row r="16" spans="2:3">
      <c r="C16"/>
    </row>
    <row r="17" spans="2:6">
      <c r="C17"/>
    </row>
    <row r="18" spans="2:6">
      <c r="C18"/>
    </row>
    <row r="19" spans="2:6">
      <c r="B19" s="12" t="s">
        <v>16</v>
      </c>
      <c r="C19" s="14" t="s">
        <v>24</v>
      </c>
    </row>
    <row r="21" spans="2:6">
      <c r="B21" s="12" t="s">
        <v>313</v>
      </c>
      <c r="C21" s="14" t="s">
        <v>317</v>
      </c>
    </row>
    <row r="22" spans="2:6">
      <c r="B22" s="13" t="s">
        <v>22</v>
      </c>
      <c r="C22" s="14">
        <v>0</v>
      </c>
    </row>
    <row r="23" spans="2:6">
      <c r="B23" s="13" t="s">
        <v>26</v>
      </c>
      <c r="C23" s="14">
        <v>0</v>
      </c>
    </row>
    <row r="24" spans="2:6">
      <c r="B24" s="13" t="s">
        <v>18</v>
      </c>
      <c r="C24" s="14">
        <v>600</v>
      </c>
    </row>
    <row r="25" spans="2:6">
      <c r="B25" s="13" t="s">
        <v>314</v>
      </c>
      <c r="C25" s="14">
        <v>600</v>
      </c>
      <c r="D25" s="18">
        <f>GETPIVOTDATA("EA Play Season Pass
Price",$B$21)</f>
        <v>600</v>
      </c>
    </row>
    <row r="26" spans="2:6">
      <c r="C26"/>
    </row>
    <row r="27" spans="2:6">
      <c r="C27"/>
    </row>
    <row r="28" spans="2:6">
      <c r="C28"/>
    </row>
    <row r="29" spans="2:6">
      <c r="B29" s="12" t="s">
        <v>16</v>
      </c>
      <c r="C29" s="14" t="s">
        <v>24</v>
      </c>
    </row>
    <row r="31" spans="2:6">
      <c r="B31" s="12" t="s">
        <v>313</v>
      </c>
      <c r="C31" s="14" t="s">
        <v>318</v>
      </c>
      <c r="D31" s="12"/>
      <c r="E31" s="12"/>
      <c r="F31" s="12"/>
    </row>
    <row r="32" spans="2:6">
      <c r="B32" s="13" t="s">
        <v>22</v>
      </c>
      <c r="C32" s="14">
        <v>0</v>
      </c>
    </row>
    <row r="33" spans="2:4">
      <c r="B33" s="13" t="s">
        <v>26</v>
      </c>
      <c r="C33" s="14">
        <v>540</v>
      </c>
    </row>
    <row r="34" spans="2:4">
      <c r="B34" s="13" t="s">
        <v>18</v>
      </c>
      <c r="C34" s="14">
        <v>400</v>
      </c>
    </row>
    <row r="35" spans="2:4">
      <c r="B35" s="13" t="s">
        <v>314</v>
      </c>
      <c r="C35" s="14">
        <v>940</v>
      </c>
      <c r="D35" s="18">
        <f>GETPIVOTDATA("Minecraft Season Pass Price",$B$31)</f>
        <v>940</v>
      </c>
    </row>
    <row r="36" spans="2:4">
      <c r="C36"/>
    </row>
    <row r="37" spans="2:4">
      <c r="C37"/>
    </row>
    <row r="38" spans="2:4">
      <c r="C38"/>
    </row>
    <row r="39" spans="2:4">
      <c r="C39"/>
    </row>
    <row r="40" spans="2:4">
      <c r="C40"/>
    </row>
    <row r="41" spans="2:4">
      <c r="C41"/>
    </row>
    <row r="42" spans="2:4">
      <c r="C42"/>
    </row>
    <row r="43" spans="2:4">
      <c r="C43"/>
    </row>
    <row r="44" spans="2:4">
      <c r="C44"/>
    </row>
    <row r="45" spans="2:4">
      <c r="C45"/>
    </row>
    <row r="46" spans="2:4">
      <c r="C46"/>
    </row>
    <row r="47" spans="2:4">
      <c r="C47"/>
    </row>
    <row r="48" spans="2:4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268"/>
  <sheetViews>
    <sheetView showGridLines="0" showRowColHeaders="0" tabSelected="1" zoomScale="80" zoomScaleNormal="80" workbookViewId="0">
      <selection activeCell="G1" sqref="G1"/>
    </sheetView>
  </sheetViews>
  <sheetFormatPr defaultRowHeight="14.25"/>
  <cols>
    <col min="1" max="1" width="24.25" style="15" customWidth="1"/>
    <col min="2" max="2" width="24.25" customWidth="1"/>
    <col min="12" max="12" width="6.625" customWidth="1"/>
    <col min="14" max="14" width="7.125" customWidth="1"/>
  </cols>
  <sheetData>
    <row r="1" spans="1:17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32.25" customHeight="1" thickBot="1">
      <c r="B2" s="22" t="s">
        <v>316</v>
      </c>
      <c r="C2" s="16"/>
      <c r="D2" s="16"/>
      <c r="E2" s="16"/>
      <c r="F2" s="16"/>
      <c r="G2" s="16"/>
      <c r="H2" s="17"/>
      <c r="I2" s="17"/>
      <c r="J2" s="17"/>
      <c r="K2" s="17"/>
      <c r="L2" s="17"/>
      <c r="M2" s="17"/>
      <c r="N2" s="17"/>
      <c r="O2" s="20"/>
      <c r="P2" s="20"/>
      <c r="Q2" s="20"/>
    </row>
    <row r="3" spans="1:17" s="7" customFormat="1" ht="23.25" customHeight="1" thickTop="1">
      <c r="A3" s="15"/>
    </row>
    <row r="4" spans="1:17" s="7" customFormat="1">
      <c r="A4" s="15"/>
    </row>
    <row r="5" spans="1:17" s="7" customFormat="1" ht="16.5">
      <c r="A5" s="21" t="s">
        <v>319</v>
      </c>
    </row>
    <row r="6" spans="1:17" s="7" customFormat="1">
      <c r="A6" s="15"/>
    </row>
    <row r="7" spans="1:17" s="7" customFormat="1">
      <c r="A7" s="15"/>
    </row>
    <row r="8" spans="1:17" s="7" customFormat="1">
      <c r="A8" s="15"/>
    </row>
    <row r="9" spans="1:17" s="7" customFormat="1">
      <c r="A9" s="15"/>
    </row>
    <row r="10" spans="1:17" s="7" customFormat="1">
      <c r="A10" s="15"/>
    </row>
    <row r="11" spans="1:17" s="7" customFormat="1">
      <c r="A11" s="15"/>
    </row>
    <row r="12" spans="1:17" s="7" customFormat="1">
      <c r="A12" s="15"/>
    </row>
    <row r="13" spans="1:17" s="7" customFormat="1">
      <c r="A13" s="15"/>
    </row>
    <row r="14" spans="1:17" s="7" customFormat="1">
      <c r="A14" s="15"/>
    </row>
    <row r="15" spans="1:17" s="7" customFormat="1">
      <c r="A15" s="15"/>
    </row>
    <row r="16" spans="1:17" s="7" customFormat="1">
      <c r="A16" s="15"/>
    </row>
    <row r="17" spans="1:1" s="7" customFormat="1">
      <c r="A17" s="15"/>
    </row>
    <row r="18" spans="1:1" s="7" customFormat="1">
      <c r="A18" s="15"/>
    </row>
    <row r="19" spans="1:1" s="7" customFormat="1">
      <c r="A19" s="15"/>
    </row>
    <row r="20" spans="1:1" s="7" customFormat="1">
      <c r="A20" s="15"/>
    </row>
    <row r="21" spans="1:1" s="7" customFormat="1">
      <c r="A21" s="15"/>
    </row>
    <row r="22" spans="1:1" s="7" customFormat="1">
      <c r="A22" s="15"/>
    </row>
    <row r="23" spans="1:1" s="7" customFormat="1">
      <c r="A23" s="15"/>
    </row>
    <row r="24" spans="1:1" s="7" customFormat="1">
      <c r="A24" s="15"/>
    </row>
    <row r="25" spans="1:1" s="7" customFormat="1">
      <c r="A25" s="15"/>
    </row>
    <row r="26" spans="1:1" s="7" customFormat="1">
      <c r="A26" s="15"/>
    </row>
    <row r="27" spans="1:1" s="7" customFormat="1">
      <c r="A27" s="15"/>
    </row>
    <row r="28" spans="1:1" s="7" customFormat="1">
      <c r="A28" s="15"/>
    </row>
    <row r="29" spans="1:1" s="7" customFormat="1">
      <c r="A29" s="15"/>
    </row>
    <row r="30" spans="1:1" s="7" customFormat="1">
      <c r="A30" s="15"/>
    </row>
    <row r="31" spans="1:1" s="7" customFormat="1">
      <c r="A31" s="15"/>
    </row>
    <row r="32" spans="1:1" s="7" customFormat="1">
      <c r="A32" s="15"/>
    </row>
    <row r="33" spans="1:1" s="7" customFormat="1">
      <c r="A33" s="15"/>
    </row>
    <row r="34" spans="1:1" s="7" customFormat="1">
      <c r="A34" s="15"/>
    </row>
    <row r="35" spans="1:1" s="7" customFormat="1">
      <c r="A35" s="15"/>
    </row>
    <row r="36" spans="1:1" s="7" customFormat="1">
      <c r="A36" s="15"/>
    </row>
    <row r="37" spans="1:1" s="7" customFormat="1">
      <c r="A37" s="15"/>
    </row>
    <row r="38" spans="1:1" s="7" customFormat="1">
      <c r="A38" s="15"/>
    </row>
    <row r="39" spans="1:1" s="7" customFormat="1">
      <c r="A39" s="15"/>
    </row>
    <row r="40" spans="1:1" s="7" customFormat="1">
      <c r="A40" s="15"/>
    </row>
    <row r="41" spans="1:1" s="7" customFormat="1">
      <c r="A41" s="15"/>
    </row>
    <row r="42" spans="1:1" s="7" customFormat="1">
      <c r="A42" s="15"/>
    </row>
    <row r="43" spans="1:1" s="7" customFormat="1">
      <c r="A43" s="15"/>
    </row>
    <row r="44" spans="1:1" s="7" customFormat="1">
      <c r="A44" s="15"/>
    </row>
    <row r="45" spans="1:1" s="7" customFormat="1">
      <c r="A45" s="15"/>
    </row>
    <row r="46" spans="1:1" s="7" customFormat="1">
      <c r="A46" s="15"/>
    </row>
    <row r="47" spans="1:1" s="7" customFormat="1">
      <c r="A47" s="15"/>
    </row>
    <row r="48" spans="1:1" s="7" customFormat="1">
      <c r="A48" s="15"/>
    </row>
    <row r="49" spans="1:1" s="7" customFormat="1">
      <c r="A49" s="15"/>
    </row>
    <row r="50" spans="1:1" s="7" customFormat="1">
      <c r="A50" s="15"/>
    </row>
    <row r="51" spans="1:1" s="7" customFormat="1">
      <c r="A51" s="15"/>
    </row>
    <row r="52" spans="1:1" s="7" customFormat="1">
      <c r="A52" s="15"/>
    </row>
    <row r="53" spans="1:1" s="7" customFormat="1">
      <c r="A53" s="15"/>
    </row>
    <row r="54" spans="1:1" s="7" customFormat="1">
      <c r="A54" s="15"/>
    </row>
    <row r="55" spans="1:1" s="7" customFormat="1">
      <c r="A55" s="15"/>
    </row>
    <row r="56" spans="1:1" s="7" customFormat="1">
      <c r="A56" s="15"/>
    </row>
    <row r="57" spans="1:1" s="7" customFormat="1">
      <c r="A57" s="15"/>
    </row>
    <row r="58" spans="1:1" s="7" customFormat="1">
      <c r="A58" s="15"/>
    </row>
    <row r="59" spans="1:1" s="7" customFormat="1">
      <c r="A59" s="15"/>
    </row>
    <row r="60" spans="1:1" s="7" customFormat="1">
      <c r="A60" s="15"/>
    </row>
    <row r="61" spans="1:1" s="7" customFormat="1">
      <c r="A61" s="15"/>
    </row>
    <row r="62" spans="1:1" s="7" customFormat="1">
      <c r="A62" s="15"/>
    </row>
    <row r="63" spans="1:1" s="7" customFormat="1">
      <c r="A63" s="15"/>
    </row>
    <row r="64" spans="1:1" s="7" customFormat="1">
      <c r="A64" s="15"/>
    </row>
    <row r="65" spans="1:1" s="7" customFormat="1">
      <c r="A65" s="15"/>
    </row>
    <row r="66" spans="1:1" s="7" customFormat="1">
      <c r="A66" s="15"/>
    </row>
    <row r="67" spans="1:1" s="7" customFormat="1">
      <c r="A67" s="15"/>
    </row>
    <row r="68" spans="1:1" s="7" customFormat="1">
      <c r="A68" s="15"/>
    </row>
    <row r="69" spans="1:1" s="7" customFormat="1">
      <c r="A69" s="15"/>
    </row>
    <row r="70" spans="1:1" s="7" customFormat="1">
      <c r="A70" s="15"/>
    </row>
    <row r="71" spans="1:1" s="7" customFormat="1">
      <c r="A71" s="15"/>
    </row>
    <row r="72" spans="1:1" s="7" customFormat="1">
      <c r="A72" s="15"/>
    </row>
    <row r="73" spans="1:1" s="7" customFormat="1">
      <c r="A73" s="15"/>
    </row>
    <row r="74" spans="1:1" s="7" customFormat="1">
      <c r="A74" s="15"/>
    </row>
    <row r="75" spans="1:1" s="7" customFormat="1">
      <c r="A75" s="15"/>
    </row>
    <row r="76" spans="1:1" s="7" customFormat="1">
      <c r="A76" s="15"/>
    </row>
    <row r="77" spans="1:1" s="7" customFormat="1">
      <c r="A77" s="15"/>
    </row>
    <row r="78" spans="1:1" s="7" customFormat="1">
      <c r="A78" s="15"/>
    </row>
    <row r="79" spans="1:1" s="7" customFormat="1">
      <c r="A79" s="15"/>
    </row>
    <row r="80" spans="1:1" s="7" customFormat="1">
      <c r="A80" s="15"/>
    </row>
    <row r="81" spans="1:1" s="7" customFormat="1">
      <c r="A81" s="15"/>
    </row>
    <row r="82" spans="1:1" s="7" customFormat="1">
      <c r="A82" s="15"/>
    </row>
    <row r="83" spans="1:1" s="7" customFormat="1">
      <c r="A83" s="15"/>
    </row>
    <row r="84" spans="1:1" s="7" customFormat="1">
      <c r="A84" s="15"/>
    </row>
    <row r="85" spans="1:1" s="7" customFormat="1">
      <c r="A85" s="15"/>
    </row>
    <row r="86" spans="1:1" s="7" customFormat="1">
      <c r="A86" s="15"/>
    </row>
    <row r="87" spans="1:1" s="7" customFormat="1">
      <c r="A87" s="15"/>
    </row>
    <row r="88" spans="1:1" s="7" customFormat="1">
      <c r="A88" s="15"/>
    </row>
    <row r="89" spans="1:1" s="7" customFormat="1">
      <c r="A89" s="15"/>
    </row>
    <row r="90" spans="1:1" s="7" customFormat="1">
      <c r="A90" s="15"/>
    </row>
    <row r="91" spans="1:1" s="7" customFormat="1">
      <c r="A91" s="15"/>
    </row>
    <row r="92" spans="1:1" s="7" customFormat="1">
      <c r="A92" s="15"/>
    </row>
    <row r="93" spans="1:1" s="7" customFormat="1">
      <c r="A93" s="15"/>
    </row>
    <row r="94" spans="1:1" s="7" customFormat="1">
      <c r="A94" s="15"/>
    </row>
    <row r="95" spans="1:1" s="7" customFormat="1">
      <c r="A95" s="15"/>
    </row>
    <row r="96" spans="1:1" s="7" customFormat="1">
      <c r="A96" s="15"/>
    </row>
    <row r="97" spans="1:1" s="7" customFormat="1">
      <c r="A97" s="15"/>
    </row>
    <row r="98" spans="1:1" s="7" customFormat="1">
      <c r="A98" s="15"/>
    </row>
    <row r="99" spans="1:1" s="7" customFormat="1">
      <c r="A99" s="15"/>
    </row>
    <row r="100" spans="1:1" s="7" customFormat="1">
      <c r="A100" s="15"/>
    </row>
    <row r="101" spans="1:1" s="7" customFormat="1">
      <c r="A101" s="15"/>
    </row>
    <row r="102" spans="1:1" s="7" customFormat="1">
      <c r="A102" s="15"/>
    </row>
    <row r="103" spans="1:1" s="7" customFormat="1">
      <c r="A103" s="15"/>
    </row>
    <row r="104" spans="1:1" s="7" customFormat="1">
      <c r="A104" s="15"/>
    </row>
    <row r="105" spans="1:1" s="7" customFormat="1">
      <c r="A105" s="15"/>
    </row>
    <row r="106" spans="1:1" s="7" customFormat="1">
      <c r="A106" s="15"/>
    </row>
    <row r="107" spans="1:1" s="7" customFormat="1">
      <c r="A107" s="15"/>
    </row>
    <row r="108" spans="1:1" s="7" customFormat="1">
      <c r="A108" s="15"/>
    </row>
    <row r="109" spans="1:1" s="7" customFormat="1">
      <c r="A109" s="15"/>
    </row>
    <row r="110" spans="1:1" s="7" customFormat="1">
      <c r="A110" s="15"/>
    </row>
    <row r="111" spans="1:1" s="7" customFormat="1">
      <c r="A111" s="15"/>
    </row>
    <row r="112" spans="1:1" s="7" customFormat="1">
      <c r="A112" s="15"/>
    </row>
    <row r="113" spans="1:1" s="7" customFormat="1">
      <c r="A113" s="15"/>
    </row>
    <row r="114" spans="1:1" s="7" customFormat="1">
      <c r="A114" s="15"/>
    </row>
    <row r="115" spans="1:1" s="7" customFormat="1">
      <c r="A115" s="15"/>
    </row>
    <row r="116" spans="1:1" s="7" customFormat="1">
      <c r="A116" s="15"/>
    </row>
    <row r="117" spans="1:1" s="7" customFormat="1">
      <c r="A117" s="15"/>
    </row>
    <row r="118" spans="1:1" s="7" customFormat="1">
      <c r="A118" s="15"/>
    </row>
    <row r="119" spans="1:1" s="7" customFormat="1">
      <c r="A119" s="15"/>
    </row>
    <row r="120" spans="1:1" s="7" customFormat="1">
      <c r="A120" s="15"/>
    </row>
    <row r="121" spans="1:1" s="7" customFormat="1">
      <c r="A121" s="15"/>
    </row>
    <row r="122" spans="1:1" s="7" customFormat="1">
      <c r="A122" s="15"/>
    </row>
    <row r="123" spans="1:1" s="7" customFormat="1">
      <c r="A123" s="15"/>
    </row>
    <row r="124" spans="1:1" s="7" customFormat="1">
      <c r="A124" s="15"/>
    </row>
    <row r="125" spans="1:1" s="7" customFormat="1">
      <c r="A125" s="15"/>
    </row>
    <row r="126" spans="1:1" s="7" customFormat="1">
      <c r="A126" s="15"/>
    </row>
    <row r="127" spans="1:1" s="7" customFormat="1">
      <c r="A127" s="15"/>
    </row>
    <row r="128" spans="1:1" s="7" customFormat="1">
      <c r="A128" s="15"/>
    </row>
    <row r="129" spans="1:1" s="7" customFormat="1">
      <c r="A129" s="15"/>
    </row>
    <row r="130" spans="1:1" s="7" customFormat="1">
      <c r="A130" s="15"/>
    </row>
    <row r="131" spans="1:1" s="7" customFormat="1">
      <c r="A131" s="15"/>
    </row>
    <row r="132" spans="1:1" s="7" customFormat="1">
      <c r="A132" s="15"/>
    </row>
    <row r="133" spans="1:1" s="7" customFormat="1">
      <c r="A133" s="15"/>
    </row>
    <row r="134" spans="1:1" s="7" customFormat="1">
      <c r="A134" s="15"/>
    </row>
    <row r="135" spans="1:1" s="7" customFormat="1">
      <c r="A135" s="15"/>
    </row>
    <row r="136" spans="1:1" s="7" customFormat="1">
      <c r="A136" s="15"/>
    </row>
    <row r="137" spans="1:1" s="7" customFormat="1">
      <c r="A137" s="15"/>
    </row>
    <row r="138" spans="1:1" s="7" customFormat="1">
      <c r="A138" s="15"/>
    </row>
    <row r="139" spans="1:1" s="7" customFormat="1">
      <c r="A139" s="15"/>
    </row>
    <row r="140" spans="1:1" s="7" customFormat="1">
      <c r="A140" s="15"/>
    </row>
    <row r="141" spans="1:1" s="7" customFormat="1">
      <c r="A141" s="15"/>
    </row>
    <row r="142" spans="1:1" s="7" customFormat="1">
      <c r="A142" s="15"/>
    </row>
    <row r="143" spans="1:1" s="7" customFormat="1">
      <c r="A143" s="15"/>
    </row>
    <row r="144" spans="1:1" s="7" customFormat="1">
      <c r="A144" s="15"/>
    </row>
    <row r="145" spans="1:1" s="7" customFormat="1">
      <c r="A145" s="15"/>
    </row>
    <row r="146" spans="1:1" s="7" customFormat="1">
      <c r="A146" s="15"/>
    </row>
    <row r="147" spans="1:1" s="7" customFormat="1">
      <c r="A147" s="15"/>
    </row>
    <row r="148" spans="1:1" s="7" customFormat="1">
      <c r="A148" s="15"/>
    </row>
    <row r="149" spans="1:1" s="7" customFormat="1">
      <c r="A149" s="15"/>
    </row>
    <row r="150" spans="1:1" s="7" customFormat="1">
      <c r="A150" s="15"/>
    </row>
    <row r="151" spans="1:1" s="7" customFormat="1">
      <c r="A151" s="15"/>
    </row>
    <row r="152" spans="1:1" s="7" customFormat="1">
      <c r="A152" s="15"/>
    </row>
    <row r="153" spans="1:1" s="7" customFormat="1">
      <c r="A153" s="15"/>
    </row>
    <row r="154" spans="1:1" s="7" customFormat="1">
      <c r="A154" s="15"/>
    </row>
    <row r="155" spans="1:1" s="7" customFormat="1">
      <c r="A155" s="15"/>
    </row>
    <row r="156" spans="1:1" s="7" customFormat="1">
      <c r="A156" s="15"/>
    </row>
    <row r="157" spans="1:1" s="7" customFormat="1">
      <c r="A157" s="15"/>
    </row>
    <row r="158" spans="1:1" s="7" customFormat="1">
      <c r="A158" s="15"/>
    </row>
    <row r="159" spans="1:1" s="7" customFormat="1">
      <c r="A159" s="15"/>
    </row>
    <row r="160" spans="1:1" s="7" customFormat="1">
      <c r="A160" s="15"/>
    </row>
    <row r="161" spans="1:1" s="7" customFormat="1">
      <c r="A161" s="15"/>
    </row>
    <row r="162" spans="1:1" s="7" customFormat="1">
      <c r="A162" s="15"/>
    </row>
    <row r="163" spans="1:1" s="7" customFormat="1">
      <c r="A163" s="15"/>
    </row>
    <row r="164" spans="1:1" s="7" customFormat="1">
      <c r="A164" s="15"/>
    </row>
    <row r="165" spans="1:1" s="7" customFormat="1">
      <c r="A165" s="15"/>
    </row>
    <row r="166" spans="1:1" s="7" customFormat="1">
      <c r="A166" s="15"/>
    </row>
    <row r="167" spans="1:1" s="7" customFormat="1">
      <c r="A167" s="15"/>
    </row>
    <row r="168" spans="1:1" s="7" customFormat="1">
      <c r="A168" s="15"/>
    </row>
    <row r="169" spans="1:1" s="7" customFormat="1">
      <c r="A169" s="15"/>
    </row>
    <row r="170" spans="1:1" s="7" customFormat="1">
      <c r="A170" s="15"/>
    </row>
    <row r="171" spans="1:1" s="7" customFormat="1">
      <c r="A171" s="15"/>
    </row>
    <row r="172" spans="1:1" s="7" customFormat="1">
      <c r="A172" s="15"/>
    </row>
    <row r="173" spans="1:1" s="7" customFormat="1">
      <c r="A173" s="15"/>
    </row>
    <row r="174" spans="1:1" s="7" customFormat="1">
      <c r="A174" s="15"/>
    </row>
    <row r="175" spans="1:1" s="7" customFormat="1">
      <c r="A175" s="15"/>
    </row>
    <row r="176" spans="1:1" s="7" customFormat="1">
      <c r="A176" s="15"/>
    </row>
    <row r="177" spans="1:1" s="7" customFormat="1">
      <c r="A177" s="15"/>
    </row>
    <row r="178" spans="1:1" s="7" customFormat="1">
      <c r="A178" s="15"/>
    </row>
    <row r="179" spans="1:1" s="7" customFormat="1">
      <c r="A179" s="15"/>
    </row>
    <row r="180" spans="1:1" s="7" customFormat="1">
      <c r="A180" s="15"/>
    </row>
    <row r="181" spans="1:1" s="7" customFormat="1">
      <c r="A181" s="15"/>
    </row>
    <row r="182" spans="1:1" s="7" customFormat="1">
      <c r="A182" s="15"/>
    </row>
    <row r="183" spans="1:1" s="7" customFormat="1">
      <c r="A183" s="15"/>
    </row>
    <row r="184" spans="1:1" s="7" customFormat="1">
      <c r="A184" s="15"/>
    </row>
    <row r="185" spans="1:1" s="7" customFormat="1">
      <c r="A185" s="15"/>
    </row>
    <row r="186" spans="1:1" s="7" customFormat="1">
      <c r="A186" s="15"/>
    </row>
    <row r="187" spans="1:1" s="7" customFormat="1">
      <c r="A187" s="15"/>
    </row>
    <row r="188" spans="1:1" s="7" customFormat="1">
      <c r="A188" s="15"/>
    </row>
    <row r="189" spans="1:1" s="7" customFormat="1">
      <c r="A189" s="15"/>
    </row>
    <row r="190" spans="1:1" s="7" customFormat="1">
      <c r="A190" s="15"/>
    </row>
    <row r="191" spans="1:1" s="7" customFormat="1">
      <c r="A191" s="15"/>
    </row>
    <row r="192" spans="1:1" s="7" customFormat="1">
      <c r="A192" s="15"/>
    </row>
    <row r="193" spans="1:1" s="7" customFormat="1">
      <c r="A193" s="15"/>
    </row>
    <row r="194" spans="1:1" s="7" customFormat="1">
      <c r="A194" s="15"/>
    </row>
    <row r="195" spans="1:1" s="7" customFormat="1">
      <c r="A195" s="15"/>
    </row>
    <row r="196" spans="1:1" s="7" customFormat="1">
      <c r="A196" s="15"/>
    </row>
    <row r="197" spans="1:1" s="7" customFormat="1">
      <c r="A197" s="15"/>
    </row>
    <row r="198" spans="1:1" s="7" customFormat="1">
      <c r="A198" s="15"/>
    </row>
    <row r="199" spans="1:1" s="7" customFormat="1">
      <c r="A199" s="15"/>
    </row>
    <row r="200" spans="1:1" s="7" customFormat="1">
      <c r="A200" s="15"/>
    </row>
    <row r="201" spans="1:1" s="7" customFormat="1">
      <c r="A201" s="15"/>
    </row>
    <row r="202" spans="1:1" s="7" customFormat="1">
      <c r="A202" s="15"/>
    </row>
    <row r="203" spans="1:1" s="7" customFormat="1">
      <c r="A203" s="15"/>
    </row>
    <row r="204" spans="1:1" s="7" customFormat="1">
      <c r="A204" s="15"/>
    </row>
    <row r="205" spans="1:1" s="7" customFormat="1">
      <c r="A205" s="15"/>
    </row>
    <row r="206" spans="1:1" s="7" customFormat="1">
      <c r="A206" s="15"/>
    </row>
    <row r="207" spans="1:1" s="7" customFormat="1">
      <c r="A207" s="15"/>
    </row>
    <row r="208" spans="1:1" s="7" customFormat="1">
      <c r="A208" s="15"/>
    </row>
    <row r="209" spans="1:1" s="7" customFormat="1">
      <c r="A209" s="15"/>
    </row>
    <row r="210" spans="1:1" s="7" customFormat="1">
      <c r="A210" s="15"/>
    </row>
    <row r="211" spans="1:1" s="7" customFormat="1">
      <c r="A211" s="15"/>
    </row>
    <row r="212" spans="1:1" s="7" customFormat="1">
      <c r="A212" s="15"/>
    </row>
    <row r="213" spans="1:1" s="7" customFormat="1">
      <c r="A213" s="15"/>
    </row>
    <row r="214" spans="1:1" s="7" customFormat="1">
      <c r="A214" s="15"/>
    </row>
    <row r="215" spans="1:1" s="7" customFormat="1">
      <c r="A215" s="15"/>
    </row>
    <row r="216" spans="1:1" s="7" customFormat="1">
      <c r="A216" s="15"/>
    </row>
    <row r="217" spans="1:1" s="7" customFormat="1">
      <c r="A217" s="15"/>
    </row>
    <row r="218" spans="1:1" s="7" customFormat="1">
      <c r="A218" s="15"/>
    </row>
    <row r="219" spans="1:1" s="7" customFormat="1">
      <c r="A219" s="15"/>
    </row>
    <row r="220" spans="1:1" s="7" customFormat="1">
      <c r="A220" s="15"/>
    </row>
    <row r="221" spans="1:1" s="7" customFormat="1">
      <c r="A221" s="15"/>
    </row>
    <row r="222" spans="1:1" s="7" customFormat="1">
      <c r="A222" s="15"/>
    </row>
    <row r="223" spans="1:1" s="7" customFormat="1">
      <c r="A223" s="15"/>
    </row>
    <row r="224" spans="1:1" s="7" customFormat="1">
      <c r="A224" s="15"/>
    </row>
    <row r="225" spans="1:1" s="7" customFormat="1">
      <c r="A225" s="15"/>
    </row>
    <row r="226" spans="1:1" s="7" customFormat="1">
      <c r="A226" s="15"/>
    </row>
    <row r="227" spans="1:1" s="7" customFormat="1">
      <c r="A227" s="15"/>
    </row>
    <row r="228" spans="1:1" s="7" customFormat="1">
      <c r="A228" s="15"/>
    </row>
    <row r="229" spans="1:1" s="7" customFormat="1">
      <c r="A229" s="15"/>
    </row>
    <row r="230" spans="1:1" s="7" customFormat="1">
      <c r="A230" s="15"/>
    </row>
    <row r="231" spans="1:1" s="7" customFormat="1">
      <c r="A231" s="15"/>
    </row>
    <row r="232" spans="1:1" s="7" customFormat="1">
      <c r="A232" s="15"/>
    </row>
    <row r="233" spans="1:1" s="7" customFormat="1">
      <c r="A233" s="15"/>
    </row>
    <row r="234" spans="1:1" s="7" customFormat="1">
      <c r="A234" s="15"/>
    </row>
    <row r="235" spans="1:1" s="7" customFormat="1">
      <c r="A235" s="15"/>
    </row>
    <row r="236" spans="1:1" s="7" customFormat="1">
      <c r="A236" s="15"/>
    </row>
    <row r="237" spans="1:1" s="7" customFormat="1">
      <c r="A237" s="15"/>
    </row>
    <row r="238" spans="1:1" s="7" customFormat="1">
      <c r="A238" s="15"/>
    </row>
    <row r="239" spans="1:1" s="7" customFormat="1">
      <c r="A239" s="15"/>
    </row>
    <row r="240" spans="1:1" s="7" customFormat="1">
      <c r="A240" s="15"/>
    </row>
    <row r="241" spans="1:1" s="7" customFormat="1">
      <c r="A241" s="15"/>
    </row>
    <row r="242" spans="1:1" s="7" customFormat="1">
      <c r="A242" s="15"/>
    </row>
    <row r="243" spans="1:1" s="7" customFormat="1">
      <c r="A243" s="15"/>
    </row>
    <row r="244" spans="1:1" s="7" customFormat="1">
      <c r="A244" s="15"/>
    </row>
    <row r="245" spans="1:1" s="7" customFormat="1">
      <c r="A245" s="15"/>
    </row>
    <row r="246" spans="1:1" s="7" customFormat="1">
      <c r="A246" s="15"/>
    </row>
    <row r="247" spans="1:1" s="7" customFormat="1">
      <c r="A247" s="15"/>
    </row>
    <row r="248" spans="1:1" s="7" customFormat="1">
      <c r="A248" s="15"/>
    </row>
    <row r="249" spans="1:1" s="7" customFormat="1">
      <c r="A249" s="15"/>
    </row>
    <row r="250" spans="1:1" s="7" customFormat="1">
      <c r="A250" s="15"/>
    </row>
    <row r="251" spans="1:1" s="7" customFormat="1">
      <c r="A251" s="15"/>
    </row>
    <row r="252" spans="1:1" s="7" customFormat="1">
      <c r="A252" s="15"/>
    </row>
    <row r="253" spans="1:1" s="7" customFormat="1">
      <c r="A253" s="15"/>
    </row>
    <row r="254" spans="1:1" s="7" customFormat="1">
      <c r="A254" s="15"/>
    </row>
    <row r="255" spans="1:1" s="7" customFormat="1">
      <c r="A255" s="15"/>
    </row>
    <row r="256" spans="1:1" s="7" customFormat="1">
      <c r="A256" s="15"/>
    </row>
    <row r="257" spans="1:1" s="7" customFormat="1">
      <c r="A257" s="15"/>
    </row>
    <row r="258" spans="1:1" s="7" customFormat="1">
      <c r="A258" s="15"/>
    </row>
    <row r="259" spans="1:1" s="7" customFormat="1">
      <c r="A259" s="15"/>
    </row>
    <row r="260" spans="1:1" s="7" customFormat="1">
      <c r="A260" s="15"/>
    </row>
    <row r="261" spans="1:1" s="7" customFormat="1">
      <c r="A261" s="15"/>
    </row>
    <row r="262" spans="1:1" s="7" customFormat="1">
      <c r="A262" s="15"/>
    </row>
    <row r="263" spans="1:1" s="7" customFormat="1">
      <c r="A263" s="15"/>
    </row>
    <row r="264" spans="1:1" s="7" customFormat="1">
      <c r="A264" s="15"/>
    </row>
    <row r="265" spans="1:1" s="7" customFormat="1">
      <c r="A265" s="15"/>
    </row>
    <row r="266" spans="1:1" s="7" customFormat="1">
      <c r="A266" s="15"/>
    </row>
    <row r="267" spans="1:1" s="7" customFormat="1">
      <c r="A267" s="15"/>
    </row>
    <row r="268" spans="1:1" s="7" customFormat="1">
      <c r="A268" s="1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infopath/2007/PartnerControls"/>
    <ds:schemaRef ds:uri="851b35d3-0456-4d6a-bc2f-da927e91d158"/>
    <ds:schemaRef ds:uri="http://schemas.microsoft.com/office/2006/documentManagement/types"/>
    <ds:schemaRef ds:uri="http://schemas.microsoft.com/office/2006/metadata/properties"/>
    <ds:schemaRef ds:uri="19483571-f922-4e8e-9c1c-26f0a2252132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Usuario</cp:lastModifiedBy>
  <dcterms:created xsi:type="dcterms:W3CDTF">2024-12-19T13:13:10Z</dcterms:created>
  <dcterms:modified xsi:type="dcterms:W3CDTF">2025-11-11T16:55:41Z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